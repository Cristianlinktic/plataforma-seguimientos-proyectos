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 Materan" sheetId="1" r:id="rId4"/>
  </sheets>
  <definedNames/>
  <calcPr/>
  <extLst>
    <ext uri="GoogleSheetsCustomDataVersion2">
      <go:sheetsCustomData xmlns:go="http://customooxmlschemas.google.com/" r:id="rId5" roundtripDataChecksum="1qaKqyWhrc0jZkwQT/01D4s76AEkgix9ENjQewE8Yq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6">
      <text>
        <t xml:space="preserve">======
ID#AAACFgJvH4s
Luis Jorge Cuellar Rojas    (2026-08-11 22:35:42)
RUTA CRÍTICA: el pago de las prendas condiciona la producción, la recepción, la sesión de fotos y la carga del catálogo en el e-commerce.</t>
      </text>
    </comment>
  </commentList>
  <extLst>
    <ext uri="GoogleSheetsCustomDataVersion2">
      <go:sheetsCustomData xmlns:go="http://customooxmlschemas.google.com/" r:id="rId1" roundtripDataSignature="AMtx7mjPszqAhG8NgNmeJ+aZnQ34GPOE3g=="/>
    </ext>
  </extLst>
</comments>
</file>

<file path=xl/sharedStrings.xml><?xml version="1.0" encoding="utf-8"?>
<sst xmlns="http://schemas.openxmlformats.org/spreadsheetml/2006/main" count="146" uniqueCount="86">
  <si>
    <t>MATERAN  ·  Plan de trabajo y diagrama de Gantt</t>
  </si>
  <si>
    <t>Fecha de corte: 11 de agosto de 2026   ·   Fase actual: Creación, expectativa y lanzamiento de marca</t>
  </si>
  <si>
    <t>TOTALES</t>
  </si>
  <si>
    <t>CERRADAS</t>
  </si>
  <si>
    <t>EN CURSO</t>
  </si>
  <si>
    <t>PENDIENTES</t>
  </si>
  <si>
    <t>% AVANCE</t>
  </si>
  <si>
    <t>ID</t>
  </si>
  <si>
    <t>FRENTE</t>
  </si>
  <si>
    <t>ACTIVIDAD</t>
  </si>
  <si>
    <t>RESPONSABLE (rol)</t>
  </si>
  <si>
    <t>ESTADO</t>
  </si>
  <si>
    <t>% AV.</t>
  </si>
  <si>
    <t>INICIO</t>
  </si>
  <si>
    <t>FIN</t>
  </si>
  <si>
    <t>DÍAS</t>
  </si>
  <si>
    <t>JUL 26</t>
  </si>
  <si>
    <t>AGOSTO 2026</t>
  </si>
  <si>
    <t>SEPTIEMBRE</t>
  </si>
  <si>
    <t>OCTUBRE</t>
  </si>
  <si>
    <t>NOV 26</t>
  </si>
  <si>
    <t>Estrategia</t>
  </si>
  <si>
    <t>Benchmark de competencia</t>
  </si>
  <si>
    <t>Luis Cuellar</t>
  </si>
  <si>
    <t>Cerrada</t>
  </si>
  <si>
    <t>Estrategia de lanzamiento</t>
  </si>
  <si>
    <t>Alejandro Marín - Analista MKT</t>
  </si>
  <si>
    <t>Estrategia de relacionamiento y PR</t>
  </si>
  <si>
    <t>Natalia Ochoa - CM</t>
  </si>
  <si>
    <t>Definición de la fecha de lanzamiento</t>
  </si>
  <si>
    <t>Dirección de Marca</t>
  </si>
  <si>
    <t>Pendiente</t>
  </si>
  <si>
    <t>Digital / RRSS</t>
  </si>
  <si>
    <t>Creación de las cuentas de RRSS</t>
  </si>
  <si>
    <t>Parrilla de contenido — expectativa</t>
  </si>
  <si>
    <t>En curso</t>
  </si>
  <si>
    <t>Parrilla de contenido — lanzamiento</t>
  </si>
  <si>
    <t>Producción de piezas gráficas y audiovisuales</t>
  </si>
  <si>
    <t>Estefanny Botache y David Cadena</t>
  </si>
  <si>
    <t>Publicación de la fase de expectativa</t>
  </si>
  <si>
    <t>Lanzamiento de marca en RRSS</t>
  </si>
  <si>
    <t>E-commerce</t>
  </si>
  <si>
    <t>Primera propuesta de UX/UI</t>
  </si>
  <si>
    <t>Valeria Barrera - D. Ux Ui</t>
  </si>
  <si>
    <t>Ajustes y aprobación de UX/UI</t>
  </si>
  <si>
    <t>Apertura de la cuenta Shopify</t>
  </si>
  <si>
    <t>Configuración de la pasarela de pago</t>
  </si>
  <si>
    <t>Configuración de facturación electrónica</t>
  </si>
  <si>
    <t>Luis Cuellar y legal</t>
  </si>
  <si>
    <t>Maquetación y desarrollo del sitio</t>
  </si>
  <si>
    <t>Cristian Sabogal - DEV</t>
  </si>
  <si>
    <t>Carga de catálogo y fichas de producto</t>
  </si>
  <si>
    <t>Pruebas y salida a producción</t>
  </si>
  <si>
    <t>Producto</t>
  </si>
  <si>
    <t>Pago de las prendas al proveedor</t>
  </si>
  <si>
    <t>Daniel Salinas</t>
  </si>
  <si>
    <t>Producción y entrega de las prendas</t>
  </si>
  <si>
    <t>Fábrica CI Trading</t>
  </si>
  <si>
    <t>Recepción y control de calidad</t>
  </si>
  <si>
    <t>Coordinación de Producto</t>
  </si>
  <si>
    <t>Sesión de fotos de producto</t>
  </si>
  <si>
    <t>Audiovisual</t>
  </si>
  <si>
    <t>Packaging</t>
  </si>
  <si>
    <t>Diseño de la PR Box</t>
  </si>
  <si>
    <t>Estefanny Botache - D. Grafica</t>
  </si>
  <si>
    <t>Diseño de la bolsa de papel</t>
  </si>
  <si>
    <t>Diseño de la bolsa de tela</t>
  </si>
  <si>
    <t>Diseño de las marquillas tejidas</t>
  </si>
  <si>
    <t>Diseño de las etiquetas de cartón</t>
  </si>
  <si>
    <t>Diseño del certificado de autenticidad</t>
  </si>
  <si>
    <t>Aprobación de las marquillas tejidas</t>
  </si>
  <si>
    <t>Luiseth</t>
  </si>
  <si>
    <t>Producción de las marquillas tejidas</t>
  </si>
  <si>
    <t>MQS SAS</t>
  </si>
  <si>
    <t>Aprobación y ajustes — PR Box</t>
  </si>
  <si>
    <t>Luiseth / Diseño G.</t>
  </si>
  <si>
    <t>Aprobación y ajustes — bolsa de papel</t>
  </si>
  <si>
    <t>Aprobación y ajustes — bolsa de tela</t>
  </si>
  <si>
    <t>Aprobación y ajustes — etiquetas de cartón</t>
  </si>
  <si>
    <t>Aprobación y ajustes — certificado de autenticidad</t>
  </si>
  <si>
    <t>Producción del packaging restante</t>
  </si>
  <si>
    <t>Cotizaciones</t>
  </si>
  <si>
    <t>Legal</t>
  </si>
  <si>
    <t>T&amp;C de cambios, garantías y devoluciones</t>
  </si>
  <si>
    <t>CONVENCIONES</t>
  </si>
  <si>
    <t>Semana en curso (línea de corte)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</si>
</sst>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dd/mm/yyyy"/>
  </numFmts>
  <fonts count="16">
    <font>
      <sz val="11.0"/>
      <color theme="1"/>
      <name val="Calibri"/>
      <scheme val="minor"/>
    </font>
    <font>
      <b/>
      <sz val="16.0"/>
      <color rgb="FF1E2761"/>
      <name val="Arial"/>
    </font>
    <font>
      <b/>
      <sz val="9.0"/>
      <color rgb="FF667292"/>
      <name val="Arial"/>
    </font>
    <font>
      <b/>
      <sz val="7.0"/>
      <color rgb="FF667292"/>
      <name val="Arial"/>
    </font>
    <font/>
    <font>
      <b/>
      <sz val="15.0"/>
      <color rgb="FF1E2761"/>
      <name val="Arial"/>
    </font>
    <font>
      <b/>
      <sz val="15.0"/>
      <color rgb="FF2E8B6B"/>
      <name val="Arial"/>
    </font>
    <font>
      <b/>
      <sz val="15.0"/>
      <color rgb="FFB57A17"/>
      <name val="Arial"/>
    </font>
    <font>
      <b/>
      <sz val="15.0"/>
      <color rgb="FF667292"/>
      <name val="Arial"/>
    </font>
    <font>
      <b/>
      <sz val="8.0"/>
      <color rgb="FFFFFFFF"/>
      <name val="Arial"/>
    </font>
    <font>
      <b/>
      <sz val="7.0"/>
      <color rgb="FFFFFFFF"/>
      <name val="Arial"/>
    </font>
    <font>
      <sz val="8.0"/>
      <color rgb="FF3A3A3A"/>
      <name val="Arial"/>
    </font>
    <font>
      <b/>
      <sz val="9.0"/>
      <color rgb="FF1E2761"/>
      <name val="Arial"/>
    </font>
    <font>
      <b/>
      <sz val="8.0"/>
      <color rgb="FF1E2761"/>
      <name val="Arial"/>
    </font>
    <font>
      <sz val="11.0"/>
      <color theme="1"/>
      <name val="Calibri"/>
    </font>
    <font>
      <sz val="8.0"/>
      <color rgb="FF66729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1F5FD"/>
        <bgColor rgb="FFF1F5FD"/>
      </patternFill>
    </fill>
    <fill>
      <patternFill patternType="solid">
        <fgColor rgb="FF1E2761"/>
        <bgColor rgb="FF1E2761"/>
      </patternFill>
    </fill>
    <fill>
      <patternFill patternType="solid">
        <fgColor rgb="FF141C46"/>
        <bgColor rgb="FF141C46"/>
      </patternFill>
    </fill>
    <fill>
      <patternFill patternType="solid">
        <fgColor rgb="FFB57A17"/>
        <bgColor rgb="FFB57A17"/>
      </patternFill>
    </fill>
    <fill>
      <patternFill patternType="solid">
        <fgColor rgb="FFFFFFFF"/>
        <bgColor rgb="FFFFFFFF"/>
      </patternFill>
    </fill>
    <fill>
      <patternFill patternType="solid">
        <fgColor rgb="FF2E8B6B"/>
        <bgColor rgb="FF2E8B6B"/>
      </patternFill>
    </fill>
    <fill>
      <patternFill patternType="solid">
        <fgColor rgb="FFE8A33D"/>
        <bgColor rgb="FFE8A33D"/>
      </patternFill>
    </fill>
    <fill>
      <patternFill patternType="solid">
        <fgColor rgb="FFC3CEE8"/>
        <bgColor rgb="FFC3CEE8"/>
      </patternFill>
    </fill>
  </fills>
  <borders count="17">
    <border/>
    <border>
      <left style="thin">
        <color rgb="FFD8E1F2"/>
      </left>
      <top style="thin">
        <color rgb="FFD8E1F2"/>
      </top>
      <bottom style="thin">
        <color rgb="FFD8E1F2"/>
      </bottom>
    </border>
    <border>
      <top style="thin">
        <color rgb="FFD8E1F2"/>
      </top>
      <bottom style="thin">
        <color rgb="FFD8E1F2"/>
      </bottom>
    </border>
    <border>
      <right style="thin">
        <color rgb="FFD8E1F2"/>
      </right>
      <top style="thin">
        <color rgb="FFD8E1F2"/>
      </top>
      <bottom style="thin">
        <color rgb="FFD8E1F2"/>
      </bottom>
    </border>
    <border>
      <left style="thin">
        <color rgb="FFD8E1F2"/>
      </left>
      <top style="thin">
        <color rgb="FFD8E1F2"/>
      </top>
    </border>
    <border>
      <top style="thin">
        <color rgb="FFD8E1F2"/>
      </top>
    </border>
    <border>
      <right style="thin">
        <color rgb="FFD8E1F2"/>
      </right>
      <top style="thin">
        <color rgb="FFD8E1F2"/>
      </top>
    </border>
    <border>
      <left style="thin">
        <color rgb="FFD8E1F2"/>
      </left>
      <bottom style="thin">
        <color rgb="FFD8E1F2"/>
      </bottom>
    </border>
    <border>
      <bottom style="thin">
        <color rgb="FFD8E1F2"/>
      </bottom>
    </border>
    <border>
      <right style="thin">
        <color rgb="FFD8E1F2"/>
      </right>
      <bottom style="thin">
        <color rgb="FFD8E1F2"/>
      </bottom>
    </border>
    <border>
      <left style="thin">
        <color rgb="FFD8E1F2"/>
      </left>
      <right style="thin">
        <color rgb="FFD8E1F2"/>
      </right>
      <top style="thin">
        <color rgb="FFD8E1F2"/>
      </top>
    </border>
    <border>
      <left style="thin">
        <color rgb="FFD8E1F2"/>
      </left>
      <right style="thin">
        <color rgb="FFD8E1F2"/>
      </right>
      <bottom style="thin">
        <color rgb="FFD8E1F2"/>
      </bottom>
    </border>
    <border>
      <left style="thin">
        <color rgb="FFD8E1F2"/>
      </left>
      <right style="thin">
        <color rgb="FFD8E1F2"/>
      </right>
      <top style="thin">
        <color rgb="FFD8E1F2"/>
      </top>
      <bottom style="thin">
        <color rgb="FFD8E1F2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ck">
        <color rgb="FF000000"/>
      </left>
      <right style="thin">
        <color rgb="FFD8E1F2"/>
      </right>
      <top style="thin">
        <color rgb="FFD8E1F2"/>
      </top>
      <bottom style="thin">
        <color rgb="FFD8E1F2"/>
      </bottom>
    </border>
    <border>
      <left style="thin">
        <color rgb="FFD8E1F2"/>
      </left>
      <right style="thin">
        <color rgb="FFD8E1F2"/>
      </right>
    </border>
    <border>
      <left style="thick">
        <color rgb="FF000000"/>
      </left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2" fillId="0" fontId="4" numFmtId="0" xfId="0" applyBorder="1" applyFont="1"/>
    <xf borderId="3" fillId="0" fontId="4" numFmtId="0" xfId="0" applyBorder="1" applyFont="1"/>
    <xf borderId="4" fillId="2" fontId="5" numFmtId="1" xfId="0" applyAlignment="1" applyBorder="1" applyFill="1" applyFont="1" applyNumberFormat="1">
      <alignment horizontal="center" shrinkToFit="0" vertical="center" wrapText="0"/>
    </xf>
    <xf borderId="5" fillId="0" fontId="4" numFmtId="0" xfId="0" applyBorder="1" applyFont="1"/>
    <xf borderId="6" fillId="0" fontId="4" numFmtId="0" xfId="0" applyBorder="1" applyFont="1"/>
    <xf borderId="4" fillId="2" fontId="6" numFmtId="1" xfId="0" applyAlignment="1" applyBorder="1" applyFont="1" applyNumberFormat="1">
      <alignment horizontal="center" shrinkToFit="0" vertical="center" wrapText="0"/>
    </xf>
    <xf borderId="4" fillId="2" fontId="7" numFmtId="1" xfId="0" applyAlignment="1" applyBorder="1" applyFont="1" applyNumberFormat="1">
      <alignment horizontal="center" shrinkToFit="0" vertical="center" wrapText="0"/>
    </xf>
    <xf borderId="4" fillId="2" fontId="8" numFmtId="1" xfId="0" applyAlignment="1" applyBorder="1" applyFont="1" applyNumberFormat="1">
      <alignment horizontal="center" shrinkToFit="0" vertical="center" wrapText="0"/>
    </xf>
    <xf borderId="4" fillId="2" fontId="5" numFmtId="9" xfId="0" applyAlignment="1" applyBorder="1" applyFont="1" applyNumberFormat="1">
      <alignment horizontal="center" shrinkToFit="0" vertical="center" wrapText="0"/>
    </xf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0"/>
    </xf>
    <xf borderId="11" fillId="0" fontId="4" numFmtId="0" xfId="0" applyBorder="1" applyFont="1"/>
    <xf borderId="12" fillId="4" fontId="10" numFmtId="164" xfId="0" applyAlignment="1" applyBorder="1" applyFill="1" applyFont="1" applyNumberFormat="1">
      <alignment horizontal="center" shrinkToFit="0" vertical="center" wrapText="0"/>
    </xf>
    <xf borderId="10" fillId="3" fontId="10" numFmtId="164" xfId="0" applyAlignment="1" applyBorder="1" applyFont="1" applyNumberFormat="1">
      <alignment horizontal="center" shrinkToFit="0" vertical="center" wrapText="0"/>
    </xf>
    <xf borderId="12" fillId="5" fontId="10" numFmtId="164" xfId="0" applyAlignment="1" applyBorder="1" applyFill="1" applyFont="1" applyNumberFormat="1">
      <alignment horizontal="center" shrinkToFit="0" vertical="center" wrapText="0"/>
    </xf>
    <xf borderId="12" fillId="2" fontId="11" numFmtId="1" xfId="0" applyAlignment="1" applyBorder="1" applyFont="1" applyNumberFormat="1">
      <alignment horizontal="center" shrinkToFit="0" vertical="center" wrapText="0"/>
    </xf>
    <xf borderId="10" fillId="2" fontId="12" numFmtId="0" xfId="0" applyAlignment="1" applyBorder="1" applyFont="1">
      <alignment horizontal="left" shrinkToFit="0" vertical="center" wrapText="1"/>
    </xf>
    <xf borderId="12" fillId="2" fontId="13" numFmtId="0" xfId="0" applyAlignment="1" applyBorder="1" applyFont="1">
      <alignment horizontal="left" shrinkToFit="0" vertical="center" wrapText="0"/>
    </xf>
    <xf borderId="12" fillId="2" fontId="11" numFmtId="0" xfId="0" applyAlignment="1" applyBorder="1" applyFont="1">
      <alignment horizontal="left" readingOrder="0" shrinkToFit="0" vertical="center" wrapText="0"/>
    </xf>
    <xf borderId="12" fillId="2" fontId="11" numFmtId="0" xfId="0" applyAlignment="1" applyBorder="1" applyFont="1">
      <alignment horizontal="center" shrinkToFit="0" vertical="center" wrapText="0"/>
    </xf>
    <xf borderId="12" fillId="2" fontId="11" numFmtId="9" xfId="0" applyAlignment="1" applyBorder="1" applyFont="1" applyNumberFormat="1">
      <alignment horizontal="center" shrinkToFit="0" vertical="center" wrapText="0"/>
    </xf>
    <xf borderId="12" fillId="2" fontId="11" numFmtId="165" xfId="0" applyAlignment="1" applyBorder="1" applyFont="1" applyNumberFormat="1">
      <alignment horizontal="center" readingOrder="0" shrinkToFit="0" vertical="center" wrapText="0"/>
    </xf>
    <xf borderId="12" fillId="2" fontId="14" numFmtId="0" xfId="0" applyAlignment="1" applyBorder="1" applyFont="1">
      <alignment shrinkToFit="0" vertical="bottom" wrapText="0"/>
    </xf>
    <xf borderId="1" fillId="2" fontId="14" numFmtId="0" xfId="0" applyAlignment="1" applyBorder="1" applyFont="1">
      <alignment shrinkToFit="0" vertical="bottom" wrapText="0"/>
    </xf>
    <xf borderId="13" fillId="2" fontId="14" numFmtId="0" xfId="0" applyAlignment="1" applyBorder="1" applyFont="1">
      <alignment shrinkToFit="0" vertical="bottom" wrapText="0"/>
    </xf>
    <xf borderId="14" fillId="2" fontId="14" numFmtId="0" xfId="0" applyAlignment="1" applyBorder="1" applyFont="1">
      <alignment shrinkToFit="0" vertical="bottom" wrapText="0"/>
    </xf>
    <xf borderId="12" fillId="6" fontId="11" numFmtId="1" xfId="0" applyAlignment="1" applyBorder="1" applyFill="1" applyFont="1" applyNumberFormat="1">
      <alignment horizontal="center" shrinkToFit="0" vertical="center" wrapText="0"/>
    </xf>
    <xf borderId="15" fillId="0" fontId="4" numFmtId="0" xfId="0" applyBorder="1" applyFont="1"/>
    <xf borderId="12" fillId="6" fontId="13" numFmtId="0" xfId="0" applyAlignment="1" applyBorder="1" applyFont="1">
      <alignment horizontal="left" shrinkToFit="0" vertical="center" wrapText="0"/>
    </xf>
    <xf borderId="12" fillId="6" fontId="11" numFmtId="0" xfId="0" applyAlignment="1" applyBorder="1" applyFont="1">
      <alignment horizontal="left" readingOrder="0" shrinkToFit="0" vertical="center" wrapText="0"/>
    </xf>
    <xf borderId="12" fillId="6" fontId="11" numFmtId="0" xfId="0" applyAlignment="1" applyBorder="1" applyFont="1">
      <alignment horizontal="center" readingOrder="0" shrinkToFit="0" vertical="center" wrapText="0"/>
    </xf>
    <xf borderId="12" fillId="6" fontId="11" numFmtId="9" xfId="0" applyAlignment="1" applyBorder="1" applyFont="1" applyNumberFormat="1">
      <alignment horizontal="center" readingOrder="0" shrinkToFit="0" vertical="center" wrapText="0"/>
    </xf>
    <xf borderId="12" fillId="6" fontId="11" numFmtId="165" xfId="0" applyAlignment="1" applyBorder="1" applyFont="1" applyNumberFormat="1">
      <alignment horizontal="center" shrinkToFit="0" vertical="center" wrapText="0"/>
    </xf>
    <xf borderId="12" fillId="6" fontId="11" numFmtId="165" xfId="0" applyAlignment="1" applyBorder="1" applyFont="1" applyNumberFormat="1">
      <alignment horizontal="center" readingOrder="0" shrinkToFit="0" vertical="center" wrapText="0"/>
    </xf>
    <xf borderId="12" fillId="6" fontId="14" numFmtId="0" xfId="0" applyAlignment="1" applyBorder="1" applyFont="1">
      <alignment shrinkToFit="0" vertical="bottom" wrapText="0"/>
    </xf>
    <xf borderId="1" fillId="6" fontId="14" numFmtId="0" xfId="0" applyAlignment="1" applyBorder="1" applyFont="1">
      <alignment shrinkToFit="0" vertical="bottom" wrapText="0"/>
    </xf>
    <xf borderId="13" fillId="6" fontId="14" numFmtId="0" xfId="0" applyAlignment="1" applyBorder="1" applyFont="1">
      <alignment shrinkToFit="0" vertical="bottom" wrapText="0"/>
    </xf>
    <xf borderId="14" fillId="6" fontId="14" numFmtId="0" xfId="0" applyAlignment="1" applyBorder="1" applyFont="1">
      <alignment shrinkToFit="0" vertical="bottom" wrapText="0"/>
    </xf>
    <xf borderId="12" fillId="2" fontId="11" numFmtId="0" xfId="0" applyAlignment="1" applyBorder="1" applyFont="1">
      <alignment horizontal="center" readingOrder="0" shrinkToFit="0" vertical="center" wrapText="0"/>
    </xf>
    <xf borderId="12" fillId="2" fontId="11" numFmtId="9" xfId="0" applyAlignment="1" applyBorder="1" applyFont="1" applyNumberFormat="1">
      <alignment horizontal="center" readingOrder="0" shrinkToFit="0" vertical="center" wrapText="0"/>
    </xf>
    <xf borderId="12" fillId="2" fontId="11" numFmtId="165" xfId="0" applyAlignment="1" applyBorder="1" applyFont="1" applyNumberFormat="1">
      <alignment horizontal="center" shrinkToFit="0" vertical="center" wrapText="0"/>
    </xf>
    <xf borderId="12" fillId="6" fontId="11" numFmtId="0" xfId="0" applyAlignment="1" applyBorder="1" applyFont="1">
      <alignment horizontal="left" shrinkToFit="0" vertical="center" wrapText="0"/>
    </xf>
    <xf borderId="12" fillId="6" fontId="11" numFmtId="0" xfId="0" applyAlignment="1" applyBorder="1" applyFont="1">
      <alignment horizontal="center" shrinkToFit="0" vertical="center" wrapText="0"/>
    </xf>
    <xf borderId="12" fillId="6" fontId="11" numFmtId="9" xfId="0" applyAlignment="1" applyBorder="1" applyFont="1" applyNumberFormat="1">
      <alignment horizontal="center" shrinkToFit="0" vertical="center" wrapText="0"/>
    </xf>
    <xf borderId="12" fillId="0" fontId="11" numFmtId="0" xfId="0" applyAlignment="1" applyBorder="1" applyFont="1">
      <alignment horizontal="left" readingOrder="0" shrinkToFit="0" vertical="center" wrapText="0"/>
    </xf>
    <xf borderId="12" fillId="2" fontId="11" numFmtId="0" xfId="0" applyAlignment="1" applyBorder="1" applyFont="1">
      <alignment horizontal="left" shrinkToFit="0" vertical="center" wrapText="0"/>
    </xf>
    <xf borderId="12" fillId="0" fontId="11" numFmtId="165" xfId="0" applyAlignment="1" applyBorder="1" applyFont="1" applyNumberFormat="1">
      <alignment horizontal="center" readingOrder="0" shrinkToFit="0" vertical="center" wrapText="0"/>
    </xf>
    <xf borderId="12" fillId="2" fontId="13" numFmtId="0" xfId="0" applyAlignment="1" applyBorder="1" applyFont="1">
      <alignment horizontal="left" readingOrder="0" shrinkToFit="0" vertical="center" wrapText="0"/>
    </xf>
    <xf borderId="0" fillId="2" fontId="11" numFmtId="1" xfId="0" applyAlignment="1" applyFont="1" applyNumberFormat="1">
      <alignment horizontal="center" shrinkToFit="0" vertical="center" wrapText="0"/>
    </xf>
    <xf borderId="0" fillId="2" fontId="12" numFmtId="0" xfId="0" applyAlignment="1" applyFont="1">
      <alignment horizontal="left" readingOrder="0" shrinkToFit="0" vertical="center" wrapText="1"/>
    </xf>
    <xf borderId="0" fillId="2" fontId="13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2" fontId="11" numFmtId="0" xfId="0" applyAlignment="1" applyFont="1">
      <alignment horizontal="center" readingOrder="0" shrinkToFit="0" vertical="center" wrapText="0"/>
    </xf>
    <xf borderId="0" fillId="2" fontId="11" numFmtId="9" xfId="0" applyAlignment="1" applyFont="1" applyNumberFormat="1">
      <alignment horizontal="center" readingOrder="0" shrinkToFit="0" vertical="center" wrapText="0"/>
    </xf>
    <xf borderId="0" fillId="2" fontId="14" numFmtId="0" xfId="0" applyAlignment="1" applyFont="1">
      <alignment shrinkToFit="0" vertical="bottom" wrapText="0"/>
    </xf>
    <xf borderId="16" fillId="2" fontId="14" numFmtId="0" xfId="0" applyAlignment="1" applyBorder="1" applyFont="1">
      <alignment shrinkToFit="0" vertical="bottom" wrapText="0"/>
    </xf>
    <xf borderId="0" fillId="0" fontId="13" numFmtId="0" xfId="0" applyAlignment="1" applyFont="1">
      <alignment shrinkToFit="0" vertical="bottom" wrapText="0"/>
    </xf>
    <xf borderId="12" fillId="7" fontId="14" numFmtId="0" xfId="0" applyAlignment="1" applyBorder="1" applyFill="1" applyFont="1">
      <alignment shrinkToFit="0" vertical="bottom" wrapText="0"/>
    </xf>
    <xf borderId="0" fillId="0" fontId="11" numFmtId="0" xfId="0" applyAlignment="1" applyFont="1">
      <alignment shrinkToFit="0" vertical="bottom" wrapText="0"/>
    </xf>
    <xf borderId="12" fillId="8" fontId="14" numFmtId="0" xfId="0" applyAlignment="1" applyBorder="1" applyFill="1" applyFont="1">
      <alignment shrinkToFit="0" vertical="bottom" wrapText="0"/>
    </xf>
    <xf borderId="12" fillId="9" fontId="14" numFmtId="0" xfId="0" applyAlignment="1" applyBorder="1" applyFill="1" applyFont="1">
      <alignment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solid">
          <fgColor rgb="FF2E8B6B"/>
          <bgColor rgb="FF2E8B6B"/>
        </patternFill>
      </fill>
      <border/>
    </dxf>
    <dxf>
      <font/>
      <fill>
        <patternFill patternType="solid">
          <fgColor rgb="FFE8A33D"/>
          <bgColor rgb="FFE8A33D"/>
        </patternFill>
      </fill>
      <border/>
    </dxf>
    <dxf>
      <font/>
      <fill>
        <patternFill patternType="solid">
          <fgColor rgb="FFC3CEE8"/>
          <bgColor rgb="FFC3CEE8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57"/>
    <col customWidth="1" min="2" max="2" width="15.0"/>
    <col customWidth="1" min="3" max="3" width="45.0"/>
    <col customWidth="1" min="4" max="4" width="25.0"/>
    <col customWidth="1" min="5" max="5" width="12.0"/>
    <col customWidth="1" min="6" max="6" width="8.0"/>
    <col customWidth="1" min="7" max="8" width="10.57"/>
    <col customWidth="1" min="9" max="9" width="7.0"/>
    <col customWidth="1" min="10" max="26" width="3.57"/>
  </cols>
  <sheetData>
    <row r="1" ht="25.5" customHeight="1">
      <c r="A1" s="1" t="s">
        <v>0</v>
      </c>
    </row>
    <row r="2" ht="15.0" customHeight="1">
      <c r="A2" s="2" t="s">
        <v>1</v>
      </c>
      <c r="J2" s="3" t="s">
        <v>2</v>
      </c>
      <c r="K2" s="4"/>
      <c r="L2" s="5"/>
      <c r="M2" s="3" t="s">
        <v>3</v>
      </c>
      <c r="N2" s="4"/>
      <c r="O2" s="5"/>
      <c r="P2" s="3" t="s">
        <v>4</v>
      </c>
      <c r="Q2" s="4"/>
      <c r="R2" s="5"/>
      <c r="S2" s="3" t="s">
        <v>5</v>
      </c>
      <c r="T2" s="4"/>
      <c r="U2" s="5"/>
      <c r="V2" s="3" t="s">
        <v>6</v>
      </c>
      <c r="W2" s="4"/>
      <c r="X2" s="5"/>
    </row>
    <row r="3" ht="19.5" customHeight="1">
      <c r="J3" s="6">
        <f>COUNTA($C$8:$C$45)</f>
        <v>38</v>
      </c>
      <c r="K3" s="7"/>
      <c r="L3" s="8"/>
      <c r="M3" s="9">
        <f>COUNTIF($E$8:$E$45,"Cerrada")</f>
        <v>16</v>
      </c>
      <c r="N3" s="7"/>
      <c r="O3" s="8"/>
      <c r="P3" s="10">
        <f>COUNTIF($E$8:$E$45,"En curso")</f>
        <v>6</v>
      </c>
      <c r="Q3" s="7"/>
      <c r="R3" s="8"/>
      <c r="S3" s="11">
        <f>COUNTIF($E$8:$E$45,"Pendiente")</f>
        <v>16</v>
      </c>
      <c r="T3" s="7"/>
      <c r="U3" s="8"/>
      <c r="V3" s="12">
        <f>IFERROR(COUNTIF($E$8:$E$45,"Cerrada")/COUNTA($C$8:$C$44),0)</f>
        <v>0.4324324324</v>
      </c>
      <c r="W3" s="7"/>
      <c r="X3" s="8"/>
    </row>
    <row r="4" ht="12.0" customHeight="1">
      <c r="J4" s="13"/>
      <c r="K4" s="14"/>
      <c r="L4" s="15"/>
      <c r="M4" s="13"/>
      <c r="N4" s="14"/>
      <c r="O4" s="15"/>
      <c r="P4" s="13"/>
      <c r="Q4" s="14"/>
      <c r="R4" s="15"/>
      <c r="S4" s="13"/>
      <c r="T4" s="14"/>
      <c r="U4" s="15"/>
      <c r="V4" s="13"/>
      <c r="W4" s="14"/>
      <c r="X4" s="15"/>
    </row>
    <row r="5" ht="6.75" customHeight="1"/>
    <row r="6" ht="15.75" customHeight="1">
      <c r="A6" s="16" t="s">
        <v>7</v>
      </c>
      <c r="B6" s="16" t="s">
        <v>8</v>
      </c>
      <c r="C6" s="16" t="s">
        <v>9</v>
      </c>
      <c r="D6" s="16" t="s">
        <v>10</v>
      </c>
      <c r="E6" s="16" t="s">
        <v>11</v>
      </c>
      <c r="F6" s="16" t="s">
        <v>12</v>
      </c>
      <c r="G6" s="16" t="s">
        <v>13</v>
      </c>
      <c r="H6" s="16" t="s">
        <v>14</v>
      </c>
      <c r="I6" s="16" t="s">
        <v>15</v>
      </c>
      <c r="J6" s="17" t="s">
        <v>16</v>
      </c>
      <c r="K6" s="5"/>
      <c r="L6" s="17" t="s">
        <v>17</v>
      </c>
      <c r="M6" s="4"/>
      <c r="N6" s="4"/>
      <c r="O6" s="4"/>
      <c r="P6" s="5"/>
      <c r="Q6" s="17" t="s">
        <v>18</v>
      </c>
      <c r="R6" s="4"/>
      <c r="S6" s="4"/>
      <c r="T6" s="5"/>
      <c r="U6" s="17" t="s">
        <v>19</v>
      </c>
      <c r="V6" s="4"/>
      <c r="W6" s="4"/>
      <c r="X6" s="5"/>
      <c r="Y6" s="17" t="s">
        <v>20</v>
      </c>
      <c r="Z6" s="5"/>
    </row>
    <row r="7" ht="18.0" customHeight="1">
      <c r="A7" s="18"/>
      <c r="B7" s="18"/>
      <c r="C7" s="18"/>
      <c r="D7" s="18"/>
      <c r="E7" s="18"/>
      <c r="F7" s="18"/>
      <c r="G7" s="18"/>
      <c r="H7" s="18"/>
      <c r="I7" s="18"/>
      <c r="J7" s="19">
        <v>46223.0</v>
      </c>
      <c r="K7" s="19">
        <v>46230.0</v>
      </c>
      <c r="L7" s="19">
        <v>46237.0</v>
      </c>
      <c r="M7" s="20">
        <v>46244.0</v>
      </c>
      <c r="N7" s="21">
        <v>46251.0</v>
      </c>
      <c r="O7" s="19">
        <v>46258.0</v>
      </c>
      <c r="P7" s="19">
        <v>46265.0</v>
      </c>
      <c r="Q7" s="19">
        <v>46272.0</v>
      </c>
      <c r="R7" s="19">
        <v>46279.0</v>
      </c>
      <c r="S7" s="19">
        <v>46286.0</v>
      </c>
      <c r="T7" s="19">
        <v>46293.0</v>
      </c>
      <c r="U7" s="19">
        <v>46300.0</v>
      </c>
      <c r="V7" s="19">
        <v>46307.0</v>
      </c>
      <c r="W7" s="19">
        <v>46314.0</v>
      </c>
      <c r="X7" s="19">
        <v>46321.0</v>
      </c>
      <c r="Y7" s="19">
        <v>46328.0</v>
      </c>
      <c r="Z7" s="19">
        <v>46335.0</v>
      </c>
    </row>
    <row r="8" ht="15.0" customHeight="1">
      <c r="A8" s="22">
        <v>1.0</v>
      </c>
      <c r="B8" s="23" t="s">
        <v>21</v>
      </c>
      <c r="C8" s="24" t="s">
        <v>22</v>
      </c>
      <c r="D8" s="25" t="s">
        <v>23</v>
      </c>
      <c r="E8" s="26" t="s">
        <v>24</v>
      </c>
      <c r="F8" s="27">
        <v>1.0</v>
      </c>
      <c r="G8" s="28">
        <v>46230.0</v>
      </c>
      <c r="H8" s="28">
        <v>46233.0</v>
      </c>
      <c r="I8" s="22">
        <f t="shared" ref="I8:I44" si="1">H8-G8+1</f>
        <v>4</v>
      </c>
      <c r="J8" s="29"/>
      <c r="K8" s="29"/>
      <c r="L8" s="30"/>
      <c r="M8" s="31"/>
      <c r="N8" s="32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5.0" customHeight="1">
      <c r="A9" s="33">
        <v>2.0</v>
      </c>
      <c r="B9" s="34"/>
      <c r="C9" s="35" t="s">
        <v>25</v>
      </c>
      <c r="D9" s="36" t="s">
        <v>26</v>
      </c>
      <c r="E9" s="37" t="s">
        <v>24</v>
      </c>
      <c r="F9" s="38">
        <v>1.0</v>
      </c>
      <c r="G9" s="39">
        <v>46244.0</v>
      </c>
      <c r="H9" s="40">
        <v>46248.0</v>
      </c>
      <c r="I9" s="33">
        <f t="shared" si="1"/>
        <v>5</v>
      </c>
      <c r="J9" s="41"/>
      <c r="K9" s="41"/>
      <c r="L9" s="42"/>
      <c r="M9" s="43"/>
      <c r="N9" s="44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ht="15.0" customHeight="1">
      <c r="A10" s="22">
        <v>3.0</v>
      </c>
      <c r="B10" s="34"/>
      <c r="C10" s="24" t="s">
        <v>27</v>
      </c>
      <c r="D10" s="25" t="s">
        <v>28</v>
      </c>
      <c r="E10" s="45" t="s">
        <v>24</v>
      </c>
      <c r="F10" s="46">
        <v>1.0</v>
      </c>
      <c r="G10" s="47">
        <v>46244.0</v>
      </c>
      <c r="H10" s="28">
        <v>46248.0</v>
      </c>
      <c r="I10" s="22">
        <f t="shared" si="1"/>
        <v>5</v>
      </c>
      <c r="J10" s="29"/>
      <c r="K10" s="29"/>
      <c r="L10" s="30"/>
      <c r="M10" s="31"/>
      <c r="N10" s="32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15.0" customHeight="1">
      <c r="A11" s="33">
        <v>4.0</v>
      </c>
      <c r="B11" s="18"/>
      <c r="C11" s="35" t="s">
        <v>29</v>
      </c>
      <c r="D11" s="48" t="s">
        <v>30</v>
      </c>
      <c r="E11" s="49" t="s">
        <v>31</v>
      </c>
      <c r="F11" s="50">
        <v>0.0</v>
      </c>
      <c r="G11" s="40">
        <v>46265.0</v>
      </c>
      <c r="H11" s="40">
        <v>46265.0</v>
      </c>
      <c r="I11" s="33">
        <f t="shared" si="1"/>
        <v>1</v>
      </c>
      <c r="J11" s="41"/>
      <c r="K11" s="41"/>
      <c r="L11" s="42"/>
      <c r="M11" s="43"/>
      <c r="N11" s="44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</row>
    <row r="12" ht="15.0" customHeight="1">
      <c r="A12" s="22">
        <v>5.0</v>
      </c>
      <c r="B12" s="23" t="s">
        <v>32</v>
      </c>
      <c r="C12" s="24" t="s">
        <v>33</v>
      </c>
      <c r="D12" s="25" t="s">
        <v>28</v>
      </c>
      <c r="E12" s="26" t="s">
        <v>24</v>
      </c>
      <c r="F12" s="27">
        <v>1.0</v>
      </c>
      <c r="G12" s="47">
        <v>46230.0</v>
      </c>
      <c r="H12" s="28">
        <v>46234.0</v>
      </c>
      <c r="I12" s="22">
        <f t="shared" si="1"/>
        <v>5</v>
      </c>
      <c r="J12" s="29"/>
      <c r="K12" s="29"/>
      <c r="L12" s="30"/>
      <c r="M12" s="31"/>
      <c r="N12" s="32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15.0" customHeight="1">
      <c r="A13" s="33">
        <v>6.0</v>
      </c>
      <c r="B13" s="34"/>
      <c r="C13" s="35" t="s">
        <v>34</v>
      </c>
      <c r="D13" s="51" t="s">
        <v>28</v>
      </c>
      <c r="E13" s="49" t="s">
        <v>35</v>
      </c>
      <c r="F13" s="38">
        <v>0.2</v>
      </c>
      <c r="G13" s="40">
        <v>46252.0</v>
      </c>
      <c r="H13" s="40">
        <v>46255.0</v>
      </c>
      <c r="I13" s="33">
        <f t="shared" si="1"/>
        <v>4</v>
      </c>
      <c r="J13" s="41"/>
      <c r="K13" s="41"/>
      <c r="L13" s="42"/>
      <c r="M13" s="43"/>
      <c r="N13" s="44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0" customHeight="1">
      <c r="A14" s="22">
        <v>7.0</v>
      </c>
      <c r="B14" s="34"/>
      <c r="C14" s="24" t="s">
        <v>36</v>
      </c>
      <c r="D14" s="25" t="s">
        <v>28</v>
      </c>
      <c r="E14" s="26" t="s">
        <v>35</v>
      </c>
      <c r="F14" s="46">
        <v>0.2</v>
      </c>
      <c r="G14" s="28">
        <v>46252.0</v>
      </c>
      <c r="H14" s="28">
        <v>46255.0</v>
      </c>
      <c r="I14" s="22">
        <f t="shared" si="1"/>
        <v>4</v>
      </c>
      <c r="J14" s="29"/>
      <c r="K14" s="29"/>
      <c r="L14" s="30"/>
      <c r="M14" s="31"/>
      <c r="N14" s="32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15.0" customHeight="1">
      <c r="A15" s="33">
        <v>8.0</v>
      </c>
      <c r="B15" s="34"/>
      <c r="C15" s="35" t="s">
        <v>37</v>
      </c>
      <c r="D15" s="36" t="s">
        <v>38</v>
      </c>
      <c r="E15" s="49" t="s">
        <v>31</v>
      </c>
      <c r="F15" s="50">
        <v>0.0</v>
      </c>
      <c r="G15" s="40">
        <v>46258.0</v>
      </c>
      <c r="H15" s="40">
        <v>46262.0</v>
      </c>
      <c r="I15" s="33">
        <f t="shared" si="1"/>
        <v>5</v>
      </c>
      <c r="J15" s="41"/>
      <c r="K15" s="41"/>
      <c r="L15" s="42"/>
      <c r="M15" s="43"/>
      <c r="N15" s="44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ht="15.0" customHeight="1">
      <c r="A16" s="22">
        <v>9.0</v>
      </c>
      <c r="B16" s="34"/>
      <c r="C16" s="24" t="s">
        <v>39</v>
      </c>
      <c r="D16" s="25" t="s">
        <v>28</v>
      </c>
      <c r="E16" s="26" t="s">
        <v>31</v>
      </c>
      <c r="F16" s="27">
        <v>0.0</v>
      </c>
      <c r="G16" s="28">
        <v>46266.0</v>
      </c>
      <c r="H16" s="28">
        <v>46295.0</v>
      </c>
      <c r="I16" s="22">
        <f t="shared" si="1"/>
        <v>30</v>
      </c>
      <c r="J16" s="29"/>
      <c r="K16" s="29"/>
      <c r="L16" s="30"/>
      <c r="M16" s="31"/>
      <c r="N16" s="32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15.0" customHeight="1">
      <c r="A17" s="33">
        <v>10.0</v>
      </c>
      <c r="B17" s="18"/>
      <c r="C17" s="35" t="s">
        <v>40</v>
      </c>
      <c r="D17" s="36" t="s">
        <v>28</v>
      </c>
      <c r="E17" s="49" t="s">
        <v>31</v>
      </c>
      <c r="F17" s="50">
        <v>0.0</v>
      </c>
      <c r="G17" s="40">
        <v>46327.0</v>
      </c>
      <c r="H17" s="40">
        <v>46356.0</v>
      </c>
      <c r="I17" s="33">
        <f t="shared" si="1"/>
        <v>30</v>
      </c>
      <c r="J17" s="41"/>
      <c r="K17" s="41"/>
      <c r="L17" s="42"/>
      <c r="M17" s="43"/>
      <c r="N17" s="44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ht="15.0" customHeight="1">
      <c r="A18" s="22">
        <v>11.0</v>
      </c>
      <c r="B18" s="23" t="s">
        <v>41</v>
      </c>
      <c r="C18" s="24" t="s">
        <v>42</v>
      </c>
      <c r="D18" s="25" t="s">
        <v>43</v>
      </c>
      <c r="E18" s="26" t="s">
        <v>24</v>
      </c>
      <c r="F18" s="27">
        <v>1.0</v>
      </c>
      <c r="G18" s="28">
        <v>46204.0</v>
      </c>
      <c r="H18" s="28">
        <v>46218.0</v>
      </c>
      <c r="I18" s="22">
        <f t="shared" si="1"/>
        <v>15</v>
      </c>
      <c r="J18" s="29"/>
      <c r="K18" s="29"/>
      <c r="L18" s="30"/>
      <c r="M18" s="31"/>
      <c r="N18" s="32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15.0" customHeight="1">
      <c r="A19" s="33">
        <v>12.0</v>
      </c>
      <c r="B19" s="34"/>
      <c r="C19" s="35" t="s">
        <v>44</v>
      </c>
      <c r="D19" s="51" t="s">
        <v>43</v>
      </c>
      <c r="E19" s="49" t="s">
        <v>35</v>
      </c>
      <c r="F19" s="38">
        <v>0.1</v>
      </c>
      <c r="G19" s="40">
        <v>46245.0</v>
      </c>
      <c r="H19" s="40">
        <v>46265.0</v>
      </c>
      <c r="I19" s="33">
        <f t="shared" si="1"/>
        <v>21</v>
      </c>
      <c r="J19" s="41"/>
      <c r="K19" s="41"/>
      <c r="L19" s="42"/>
      <c r="M19" s="43"/>
      <c r="N19" s="44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ht="15.0" customHeight="1">
      <c r="A20" s="22">
        <v>13.0</v>
      </c>
      <c r="B20" s="34"/>
      <c r="C20" s="24" t="s">
        <v>45</v>
      </c>
      <c r="D20" s="25" t="s">
        <v>23</v>
      </c>
      <c r="E20" s="45" t="s">
        <v>24</v>
      </c>
      <c r="F20" s="46">
        <v>1.0</v>
      </c>
      <c r="G20" s="28">
        <v>46174.0</v>
      </c>
      <c r="H20" s="28">
        <v>46176.0</v>
      </c>
      <c r="I20" s="22">
        <f t="shared" si="1"/>
        <v>3</v>
      </c>
      <c r="J20" s="29"/>
      <c r="K20" s="29"/>
      <c r="L20" s="30"/>
      <c r="M20" s="31"/>
      <c r="N20" s="32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15.0" customHeight="1">
      <c r="A21" s="33">
        <v>14.0</v>
      </c>
      <c r="B21" s="34"/>
      <c r="C21" s="35" t="s">
        <v>46</v>
      </c>
      <c r="D21" s="51" t="s">
        <v>23</v>
      </c>
      <c r="E21" s="49" t="s">
        <v>31</v>
      </c>
      <c r="F21" s="50">
        <v>0.0</v>
      </c>
      <c r="G21" s="40">
        <v>46266.0</v>
      </c>
      <c r="H21" s="40">
        <v>46269.0</v>
      </c>
      <c r="I21" s="33">
        <f t="shared" si="1"/>
        <v>4</v>
      </c>
      <c r="J21" s="41"/>
      <c r="K21" s="41"/>
      <c r="L21" s="42"/>
      <c r="M21" s="43"/>
      <c r="N21" s="44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ht="15.0" customHeight="1">
      <c r="A22" s="22">
        <v>15.0</v>
      </c>
      <c r="B22" s="34"/>
      <c r="C22" s="24" t="s">
        <v>47</v>
      </c>
      <c r="D22" s="25" t="s">
        <v>48</v>
      </c>
      <c r="E22" s="26" t="s">
        <v>31</v>
      </c>
      <c r="F22" s="27">
        <v>0.0</v>
      </c>
      <c r="G22" s="28">
        <v>46266.0</v>
      </c>
      <c r="H22" s="28">
        <v>46269.0</v>
      </c>
      <c r="I22" s="22">
        <f t="shared" si="1"/>
        <v>4</v>
      </c>
      <c r="J22" s="29"/>
      <c r="K22" s="29"/>
      <c r="L22" s="30"/>
      <c r="M22" s="31"/>
      <c r="N22" s="32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15.0" customHeight="1">
      <c r="A23" s="33">
        <v>16.0</v>
      </c>
      <c r="B23" s="34"/>
      <c r="C23" s="35" t="s">
        <v>49</v>
      </c>
      <c r="D23" s="36" t="s">
        <v>50</v>
      </c>
      <c r="E23" s="49" t="s">
        <v>31</v>
      </c>
      <c r="F23" s="50">
        <v>0.0</v>
      </c>
      <c r="G23" s="40">
        <v>46266.0</v>
      </c>
      <c r="H23" s="40">
        <v>46275.0</v>
      </c>
      <c r="I23" s="33">
        <f t="shared" si="1"/>
        <v>10</v>
      </c>
      <c r="J23" s="41"/>
      <c r="K23" s="41"/>
      <c r="L23" s="42"/>
      <c r="M23" s="43"/>
      <c r="N23" s="44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ht="15.0" customHeight="1">
      <c r="A24" s="22">
        <v>17.0</v>
      </c>
      <c r="B24" s="34"/>
      <c r="C24" s="24" t="s">
        <v>51</v>
      </c>
      <c r="D24" s="25" t="s">
        <v>50</v>
      </c>
      <c r="E24" s="26" t="s">
        <v>31</v>
      </c>
      <c r="F24" s="27">
        <v>0.0</v>
      </c>
      <c r="G24" s="28">
        <v>46276.0</v>
      </c>
      <c r="H24" s="28">
        <v>46276.0</v>
      </c>
      <c r="I24" s="22">
        <f t="shared" si="1"/>
        <v>1</v>
      </c>
      <c r="J24" s="29"/>
      <c r="K24" s="29"/>
      <c r="L24" s="30"/>
      <c r="M24" s="31"/>
      <c r="N24" s="32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15.0" customHeight="1">
      <c r="A25" s="33">
        <v>18.0</v>
      </c>
      <c r="B25" s="18"/>
      <c r="C25" s="35" t="s">
        <v>52</v>
      </c>
      <c r="D25" s="51" t="s">
        <v>50</v>
      </c>
      <c r="E25" s="49" t="s">
        <v>31</v>
      </c>
      <c r="F25" s="50">
        <v>0.0</v>
      </c>
      <c r="G25" s="40">
        <v>46327.0</v>
      </c>
      <c r="H25" s="40">
        <v>46327.0</v>
      </c>
      <c r="I25" s="33">
        <f t="shared" si="1"/>
        <v>1</v>
      </c>
      <c r="J25" s="41"/>
      <c r="K25" s="41"/>
      <c r="L25" s="42"/>
      <c r="M25" s="43"/>
      <c r="N25" s="44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</row>
    <row r="26" ht="15.0" customHeight="1">
      <c r="A26" s="22">
        <v>19.0</v>
      </c>
      <c r="B26" s="23" t="s">
        <v>53</v>
      </c>
      <c r="C26" s="24" t="s">
        <v>54</v>
      </c>
      <c r="D26" s="25" t="s">
        <v>55</v>
      </c>
      <c r="E26" s="26" t="s">
        <v>31</v>
      </c>
      <c r="F26" s="27">
        <v>0.0</v>
      </c>
      <c r="G26" s="28">
        <v>46245.0</v>
      </c>
      <c r="H26" s="28">
        <v>46248.0</v>
      </c>
      <c r="I26" s="22">
        <f t="shared" si="1"/>
        <v>4</v>
      </c>
      <c r="J26" s="29"/>
      <c r="K26" s="29"/>
      <c r="L26" s="30"/>
      <c r="M26" s="31"/>
      <c r="N26" s="32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15.0" customHeight="1">
      <c r="A27" s="33">
        <v>20.0</v>
      </c>
      <c r="B27" s="34"/>
      <c r="C27" s="35" t="s">
        <v>56</v>
      </c>
      <c r="D27" s="36" t="s">
        <v>57</v>
      </c>
      <c r="E27" s="49" t="s">
        <v>31</v>
      </c>
      <c r="F27" s="50">
        <v>0.0</v>
      </c>
      <c r="G27" s="40">
        <v>46252.0</v>
      </c>
      <c r="H27" s="40">
        <v>46295.0</v>
      </c>
      <c r="I27" s="33">
        <f t="shared" si="1"/>
        <v>44</v>
      </c>
      <c r="J27" s="41"/>
      <c r="K27" s="41"/>
      <c r="L27" s="42"/>
      <c r="M27" s="43"/>
      <c r="N27" s="44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</row>
    <row r="28" ht="15.0" customHeight="1">
      <c r="A28" s="22">
        <v>21.0</v>
      </c>
      <c r="B28" s="34"/>
      <c r="C28" s="24" t="s">
        <v>58</v>
      </c>
      <c r="D28" s="52" t="s">
        <v>59</v>
      </c>
      <c r="E28" s="26" t="s">
        <v>31</v>
      </c>
      <c r="F28" s="27">
        <v>0.0</v>
      </c>
      <c r="G28" s="28">
        <v>46303.0</v>
      </c>
      <c r="H28" s="28">
        <v>46305.0</v>
      </c>
      <c r="I28" s="22">
        <f t="shared" si="1"/>
        <v>3</v>
      </c>
      <c r="J28" s="29"/>
      <c r="K28" s="29"/>
      <c r="L28" s="30"/>
      <c r="M28" s="31"/>
      <c r="N28" s="32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15.0" customHeight="1">
      <c r="A29" s="33">
        <v>22.0</v>
      </c>
      <c r="B29" s="18"/>
      <c r="C29" s="35" t="s">
        <v>60</v>
      </c>
      <c r="D29" s="36" t="s">
        <v>61</v>
      </c>
      <c r="E29" s="49" t="s">
        <v>31</v>
      </c>
      <c r="F29" s="50">
        <v>0.0</v>
      </c>
      <c r="G29" s="40">
        <v>46307.0</v>
      </c>
      <c r="H29" s="40">
        <v>46307.0</v>
      </c>
      <c r="I29" s="33">
        <f t="shared" si="1"/>
        <v>1</v>
      </c>
      <c r="J29" s="41"/>
      <c r="K29" s="41"/>
      <c r="L29" s="42"/>
      <c r="M29" s="43"/>
      <c r="N29" s="44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</row>
    <row r="30" ht="15.0" customHeight="1">
      <c r="A30" s="22">
        <v>23.0</v>
      </c>
      <c r="B30" s="23" t="s">
        <v>62</v>
      </c>
      <c r="C30" s="24" t="s">
        <v>63</v>
      </c>
      <c r="D30" s="25" t="s">
        <v>64</v>
      </c>
      <c r="E30" s="26" t="s">
        <v>24</v>
      </c>
      <c r="F30" s="27">
        <v>1.0</v>
      </c>
      <c r="G30" s="28">
        <v>46204.0</v>
      </c>
      <c r="H30" s="28">
        <v>46210.0</v>
      </c>
      <c r="I30" s="22">
        <f t="shared" si="1"/>
        <v>7</v>
      </c>
      <c r="J30" s="29"/>
      <c r="K30" s="29"/>
      <c r="L30" s="30"/>
      <c r="M30" s="31"/>
      <c r="N30" s="32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15.0" customHeight="1">
      <c r="A31" s="33">
        <v>24.0</v>
      </c>
      <c r="B31" s="34"/>
      <c r="C31" s="35" t="s">
        <v>65</v>
      </c>
      <c r="D31" s="36" t="s">
        <v>64</v>
      </c>
      <c r="E31" s="49" t="s">
        <v>24</v>
      </c>
      <c r="F31" s="50">
        <v>1.0</v>
      </c>
      <c r="G31" s="53">
        <v>46204.0</v>
      </c>
      <c r="H31" s="53">
        <v>46210.0</v>
      </c>
      <c r="I31" s="33">
        <f t="shared" si="1"/>
        <v>7</v>
      </c>
      <c r="J31" s="41"/>
      <c r="K31" s="41"/>
      <c r="L31" s="42"/>
      <c r="M31" s="43"/>
      <c r="N31" s="44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ht="15.0" customHeight="1">
      <c r="A32" s="22">
        <v>25.0</v>
      </c>
      <c r="B32" s="34"/>
      <c r="C32" s="24" t="s">
        <v>66</v>
      </c>
      <c r="D32" s="25" t="s">
        <v>64</v>
      </c>
      <c r="E32" s="26" t="s">
        <v>24</v>
      </c>
      <c r="F32" s="27">
        <v>1.0</v>
      </c>
      <c r="G32" s="28">
        <v>46204.0</v>
      </c>
      <c r="H32" s="28">
        <v>46210.0</v>
      </c>
      <c r="I32" s="22">
        <f t="shared" si="1"/>
        <v>7</v>
      </c>
      <c r="J32" s="29"/>
      <c r="K32" s="29"/>
      <c r="L32" s="30"/>
      <c r="M32" s="31"/>
      <c r="N32" s="32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15.0" customHeight="1">
      <c r="A33" s="33">
        <v>26.0</v>
      </c>
      <c r="B33" s="34"/>
      <c r="C33" s="35" t="s">
        <v>67</v>
      </c>
      <c r="D33" s="51" t="s">
        <v>64</v>
      </c>
      <c r="E33" s="49" t="s">
        <v>24</v>
      </c>
      <c r="F33" s="50">
        <v>1.0</v>
      </c>
      <c r="G33" s="53">
        <v>46204.0</v>
      </c>
      <c r="H33" s="53">
        <v>46210.0</v>
      </c>
      <c r="I33" s="33">
        <f t="shared" si="1"/>
        <v>7</v>
      </c>
      <c r="J33" s="41"/>
      <c r="K33" s="41"/>
      <c r="L33" s="42"/>
      <c r="M33" s="43"/>
      <c r="N33" s="44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ht="15.0" customHeight="1">
      <c r="A34" s="22">
        <v>27.0</v>
      </c>
      <c r="B34" s="34"/>
      <c r="C34" s="24" t="s">
        <v>68</v>
      </c>
      <c r="D34" s="25" t="s">
        <v>64</v>
      </c>
      <c r="E34" s="26" t="s">
        <v>24</v>
      </c>
      <c r="F34" s="27">
        <v>1.0</v>
      </c>
      <c r="G34" s="28">
        <v>46204.0</v>
      </c>
      <c r="H34" s="28">
        <v>46210.0</v>
      </c>
      <c r="I34" s="22">
        <f t="shared" si="1"/>
        <v>7</v>
      </c>
      <c r="J34" s="29"/>
      <c r="K34" s="29"/>
      <c r="L34" s="30"/>
      <c r="M34" s="31"/>
      <c r="N34" s="32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ht="15.0" customHeight="1">
      <c r="A35" s="33">
        <v>28.0</v>
      </c>
      <c r="B35" s="34"/>
      <c r="C35" s="35" t="s">
        <v>69</v>
      </c>
      <c r="D35" s="51" t="s">
        <v>64</v>
      </c>
      <c r="E35" s="49" t="s">
        <v>24</v>
      </c>
      <c r="F35" s="50">
        <v>1.0</v>
      </c>
      <c r="G35" s="53">
        <v>46204.0</v>
      </c>
      <c r="H35" s="53">
        <v>46210.0</v>
      </c>
      <c r="I35" s="33">
        <f t="shared" si="1"/>
        <v>7</v>
      </c>
      <c r="J35" s="41"/>
      <c r="K35" s="41"/>
      <c r="L35" s="42"/>
      <c r="M35" s="43"/>
      <c r="N35" s="44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ht="15.0" customHeight="1">
      <c r="A36" s="22">
        <v>29.0</v>
      </c>
      <c r="B36" s="34"/>
      <c r="C36" s="24" t="s">
        <v>70</v>
      </c>
      <c r="D36" s="25" t="s">
        <v>71</v>
      </c>
      <c r="E36" s="26" t="s">
        <v>24</v>
      </c>
      <c r="F36" s="27">
        <v>1.0</v>
      </c>
      <c r="G36" s="28">
        <v>46244.0</v>
      </c>
      <c r="H36" s="28">
        <v>46244.0</v>
      </c>
      <c r="I36" s="22">
        <f t="shared" si="1"/>
        <v>1</v>
      </c>
      <c r="J36" s="29"/>
      <c r="K36" s="29"/>
      <c r="L36" s="30"/>
      <c r="M36" s="31"/>
      <c r="N36" s="32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ht="15.0" customHeight="1">
      <c r="A37" s="33">
        <v>30.0</v>
      </c>
      <c r="B37" s="34"/>
      <c r="C37" s="35" t="s">
        <v>72</v>
      </c>
      <c r="D37" s="36" t="s">
        <v>73</v>
      </c>
      <c r="E37" s="37" t="s">
        <v>31</v>
      </c>
      <c r="F37" s="38">
        <v>0.0</v>
      </c>
      <c r="G37" s="40">
        <v>46252.0</v>
      </c>
      <c r="H37" s="40">
        <v>46273.0</v>
      </c>
      <c r="I37" s="33">
        <f t="shared" si="1"/>
        <v>22</v>
      </c>
      <c r="J37" s="41"/>
      <c r="K37" s="41"/>
      <c r="L37" s="42"/>
      <c r="M37" s="43"/>
      <c r="N37" s="44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ht="15.0" customHeight="1">
      <c r="A38" s="22">
        <v>31.0</v>
      </c>
      <c r="B38" s="34"/>
      <c r="C38" s="24" t="s">
        <v>74</v>
      </c>
      <c r="D38" s="25" t="s">
        <v>75</v>
      </c>
      <c r="E38" s="26" t="s">
        <v>35</v>
      </c>
      <c r="F38" s="46">
        <v>0.0</v>
      </c>
      <c r="G38" s="47">
        <v>46244.0</v>
      </c>
      <c r="H38" s="47">
        <v>46255.0</v>
      </c>
      <c r="I38" s="22">
        <f t="shared" si="1"/>
        <v>12</v>
      </c>
      <c r="J38" s="29"/>
      <c r="K38" s="29"/>
      <c r="L38" s="30"/>
      <c r="M38" s="31"/>
      <c r="N38" s="32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ht="15.0" customHeight="1">
      <c r="A39" s="33">
        <v>32.0</v>
      </c>
      <c r="B39" s="34"/>
      <c r="C39" s="35" t="s">
        <v>76</v>
      </c>
      <c r="D39" s="51" t="s">
        <v>75</v>
      </c>
      <c r="E39" s="37" t="s">
        <v>24</v>
      </c>
      <c r="F39" s="38">
        <v>1.0</v>
      </c>
      <c r="G39" s="40">
        <v>46237.0</v>
      </c>
      <c r="H39" s="40">
        <v>46245.0</v>
      </c>
      <c r="I39" s="33">
        <f t="shared" si="1"/>
        <v>9</v>
      </c>
      <c r="J39" s="41"/>
      <c r="K39" s="41"/>
      <c r="L39" s="42"/>
      <c r="M39" s="43"/>
      <c r="N39" s="44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ht="15.0" customHeight="1">
      <c r="A40" s="22">
        <v>33.0</v>
      </c>
      <c r="B40" s="34"/>
      <c r="C40" s="24" t="s">
        <v>77</v>
      </c>
      <c r="D40" s="25" t="s">
        <v>75</v>
      </c>
      <c r="E40" s="45" t="s">
        <v>24</v>
      </c>
      <c r="F40" s="46">
        <v>1.0</v>
      </c>
      <c r="G40" s="28">
        <v>46237.0</v>
      </c>
      <c r="H40" s="28">
        <v>46245.0</v>
      </c>
      <c r="I40" s="22">
        <f t="shared" si="1"/>
        <v>9</v>
      </c>
      <c r="J40" s="29"/>
      <c r="K40" s="29"/>
      <c r="L40" s="30"/>
      <c r="M40" s="31"/>
      <c r="N40" s="32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ht="15.0" customHeight="1">
      <c r="A41" s="33">
        <v>34.0</v>
      </c>
      <c r="B41" s="34"/>
      <c r="C41" s="35" t="s">
        <v>78</v>
      </c>
      <c r="D41" s="51" t="s">
        <v>75</v>
      </c>
      <c r="E41" s="37" t="s">
        <v>35</v>
      </c>
      <c r="F41" s="38">
        <v>0.5</v>
      </c>
      <c r="G41" s="40">
        <v>46244.0</v>
      </c>
      <c r="H41" s="40">
        <v>46246.0</v>
      </c>
      <c r="I41" s="33">
        <f t="shared" si="1"/>
        <v>3</v>
      </c>
      <c r="J41" s="41"/>
      <c r="K41" s="41"/>
      <c r="L41" s="42"/>
      <c r="M41" s="43"/>
      <c r="N41" s="44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</row>
    <row r="42" ht="15.0" customHeight="1">
      <c r="A42" s="22">
        <v>35.0</v>
      </c>
      <c r="B42" s="34"/>
      <c r="C42" s="24" t="s">
        <v>79</v>
      </c>
      <c r="D42" s="25" t="s">
        <v>75</v>
      </c>
      <c r="E42" s="26" t="s">
        <v>35</v>
      </c>
      <c r="F42" s="46">
        <v>0.5</v>
      </c>
      <c r="G42" s="47">
        <v>46244.0</v>
      </c>
      <c r="H42" s="28">
        <v>46246.0</v>
      </c>
      <c r="I42" s="22">
        <f t="shared" si="1"/>
        <v>3</v>
      </c>
      <c r="J42" s="29"/>
      <c r="K42" s="29"/>
      <c r="L42" s="30"/>
      <c r="M42" s="31"/>
      <c r="N42" s="32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ht="15.0" customHeight="1">
      <c r="A43" s="33">
        <v>36.0</v>
      </c>
      <c r="B43" s="34"/>
      <c r="C43" s="35" t="s">
        <v>80</v>
      </c>
      <c r="D43" s="36" t="s">
        <v>73</v>
      </c>
      <c r="E43" s="49" t="s">
        <v>31</v>
      </c>
      <c r="F43" s="50">
        <v>0.0</v>
      </c>
      <c r="G43" s="40">
        <v>46252.0</v>
      </c>
      <c r="H43" s="40">
        <v>46273.0</v>
      </c>
      <c r="I43" s="33">
        <f t="shared" si="1"/>
        <v>22</v>
      </c>
      <c r="J43" s="41"/>
      <c r="K43" s="41"/>
      <c r="L43" s="42"/>
      <c r="M43" s="43"/>
      <c r="N43" s="44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</row>
    <row r="44" ht="15.0" customHeight="1">
      <c r="A44" s="22">
        <v>37.0</v>
      </c>
      <c r="B44" s="18"/>
      <c r="C44" s="54" t="s">
        <v>81</v>
      </c>
      <c r="D44" s="25" t="s">
        <v>23</v>
      </c>
      <c r="E44" s="45" t="s">
        <v>24</v>
      </c>
      <c r="F44" s="46">
        <v>1.0</v>
      </c>
      <c r="G44" s="28">
        <v>46223.0</v>
      </c>
      <c r="H44" s="28">
        <v>46241.0</v>
      </c>
      <c r="I44" s="22">
        <f t="shared" si="1"/>
        <v>19</v>
      </c>
      <c r="J44" s="29"/>
      <c r="K44" s="29"/>
      <c r="L44" s="30"/>
      <c r="M44" s="31"/>
      <c r="N44" s="32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ht="15.0" customHeight="1">
      <c r="A45" s="55"/>
      <c r="B45" s="56" t="s">
        <v>82</v>
      </c>
      <c r="C45" s="57" t="s">
        <v>83</v>
      </c>
      <c r="D45" s="58" t="s">
        <v>82</v>
      </c>
      <c r="E45" s="59" t="s">
        <v>31</v>
      </c>
      <c r="F45" s="60">
        <v>0.0</v>
      </c>
      <c r="G45" s="28">
        <v>46247.0</v>
      </c>
      <c r="H45" s="28">
        <v>46253.0</v>
      </c>
      <c r="I45" s="22">
        <f>H45-G45+1</f>
        <v>7</v>
      </c>
      <c r="J45" s="61"/>
      <c r="K45" s="61"/>
      <c r="L45" s="61"/>
      <c r="M45" s="31"/>
      <c r="N45" s="62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ht="15.75" customHeight="1"/>
    <row r="47" ht="15.75" customHeight="1">
      <c r="A47" s="63" t="s">
        <v>84</v>
      </c>
    </row>
    <row r="48" ht="12.0" customHeight="1">
      <c r="A48" s="64"/>
      <c r="B48" s="65" t="s">
        <v>24</v>
      </c>
    </row>
    <row r="49" ht="12.0" customHeight="1">
      <c r="A49" s="66"/>
      <c r="B49" s="65" t="s">
        <v>35</v>
      </c>
    </row>
    <row r="50" ht="12.0" customHeight="1">
      <c r="A50" s="67"/>
      <c r="B50" s="65" t="s">
        <v>31</v>
      </c>
    </row>
    <row r="51" ht="12.0" customHeight="1">
      <c r="A51" s="66"/>
      <c r="B51" s="65" t="s">
        <v>85</v>
      </c>
    </row>
    <row r="52" ht="15.75" customHeight="1"/>
    <row r="53" ht="12.0" customHeight="1">
      <c r="A53" s="63"/>
    </row>
    <row r="54" ht="12.0" customHeight="1">
      <c r="A54" s="68"/>
    </row>
    <row r="55" ht="12.0" customHeight="1">
      <c r="A55" s="68"/>
    </row>
    <row r="56" ht="12.0" customHeight="1">
      <c r="A56" s="68"/>
    </row>
    <row r="57" ht="12.0" customHeight="1">
      <c r="A57" s="68"/>
    </row>
    <row r="58" ht="12.0" customHeight="1">
      <c r="A58" s="68"/>
    </row>
    <row r="59" ht="12.0" customHeight="1">
      <c r="A59" s="68"/>
    </row>
    <row r="60" ht="12.0" customHeight="1">
      <c r="A60" s="68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1">
    <mergeCell ref="A1:I1"/>
    <mergeCell ref="A2:I2"/>
    <mergeCell ref="J2:L2"/>
    <mergeCell ref="M2:O2"/>
    <mergeCell ref="P2:R2"/>
    <mergeCell ref="S2:U2"/>
    <mergeCell ref="V2:X2"/>
    <mergeCell ref="C6:C7"/>
    <mergeCell ref="D6:D7"/>
    <mergeCell ref="B8:B11"/>
    <mergeCell ref="B12:B17"/>
    <mergeCell ref="B18:B25"/>
    <mergeCell ref="B26:B29"/>
    <mergeCell ref="B30:B44"/>
    <mergeCell ref="E6:E7"/>
    <mergeCell ref="F6:F7"/>
    <mergeCell ref="G6:G7"/>
    <mergeCell ref="H6:H7"/>
    <mergeCell ref="I6:I7"/>
    <mergeCell ref="J6:K6"/>
    <mergeCell ref="L6:P6"/>
    <mergeCell ref="Q6:T6"/>
    <mergeCell ref="Y6:Z6"/>
    <mergeCell ref="J3:L4"/>
    <mergeCell ref="M3:O4"/>
    <mergeCell ref="P3:R4"/>
    <mergeCell ref="S3:U4"/>
    <mergeCell ref="V3:X4"/>
    <mergeCell ref="A6:A7"/>
    <mergeCell ref="B6:B7"/>
    <mergeCell ref="U6:X6"/>
  </mergeCells>
  <conditionalFormatting sqref="J8:Z45">
    <cfRule type="expression" dxfId="0" priority="1">
      <formula>AND($E8="Cerrada",J$7&lt;=$H8,J$7+6&gt;=$G8)</formula>
    </cfRule>
  </conditionalFormatting>
  <conditionalFormatting sqref="J8:Z45">
    <cfRule type="expression" dxfId="1" priority="2">
      <formula>AND($E8="En curso",J$7&lt;=$H8,J$7+6&gt;=$G8)</formula>
    </cfRule>
  </conditionalFormatting>
  <conditionalFormatting sqref="J8:Z45">
    <cfRule type="expression" dxfId="2" priority="3">
      <formula>AND($E8="Pendiente",J$7&lt;=$H8,J$7+6&gt;=$G8)</formula>
    </cfRule>
  </conditionalFormatting>
  <dataValidations>
    <dataValidation type="list" allowBlank="1" sqref="E8:E45">
      <formula1>"Cerrada,En curso,Pendiente"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2026-08-11T22:08:08Z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